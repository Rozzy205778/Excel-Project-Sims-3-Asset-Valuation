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ku\Downloads\"/>
    </mc:Choice>
  </mc:AlternateContent>
  <xr:revisionPtr revIDLastSave="0" documentId="13_ncr:1_{E46D9E5E-71CC-45B2-ADF7-E3F081E49EC5}" xr6:coauthVersionLast="45" xr6:coauthVersionMax="45" xr10:uidLastSave="{00000000-0000-0000-0000-000000000000}"/>
  <workbookProtection lockStructure="1"/>
  <bookViews>
    <workbookView xWindow="-108" yWindow="-108" windowWidth="23256" windowHeight="12576" xr2:uid="{4B13D140-9DD5-4A86-82DC-6ABCE2215965}"/>
  </bookViews>
  <sheets>
    <sheet name="Gems" sheetId="2" r:id="rId1"/>
    <sheet name="Metals" sheetId="4" r:id="rId2"/>
    <sheet name="Large Gems" sheetId="5" r:id="rId3"/>
    <sheet name="Guide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3" i="3" l="1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32" i="3"/>
  <c r="D29" i="3" l="1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<sst xmlns="http://schemas.openxmlformats.org/spreadsheetml/2006/main" count="155" uniqueCount="83">
  <si>
    <t>Blue Topaz</t>
  </si>
  <si>
    <t>Smoky Quartz</t>
  </si>
  <si>
    <t>Emerald</t>
  </si>
  <si>
    <t>Ruby</t>
  </si>
  <si>
    <t>Yellow Sapphire</t>
  </si>
  <si>
    <t>Tanzanite</t>
  </si>
  <si>
    <t>Diamond</t>
  </si>
  <si>
    <t>Luminorious Gem</t>
  </si>
  <si>
    <t>Rainbow Gem</t>
  </si>
  <si>
    <t>Pink Diamond</t>
  </si>
  <si>
    <t>Oval</t>
  </si>
  <si>
    <t>Pear</t>
  </si>
  <si>
    <t>Plumbbob</t>
  </si>
  <si>
    <t>Marquis</t>
  </si>
  <si>
    <t>Crystal ball</t>
  </si>
  <si>
    <t>Brilliant</t>
  </si>
  <si>
    <t>Heart-Shaped</t>
  </si>
  <si>
    <t>Base Game</t>
  </si>
  <si>
    <t>Polished Split</t>
  </si>
  <si>
    <t>Spire</t>
  </si>
  <si>
    <t>Skull</t>
  </si>
  <si>
    <t>Star</t>
  </si>
  <si>
    <t>Sculptor's Egg</t>
  </si>
  <si>
    <t>Dust</t>
  </si>
  <si>
    <t>Sun</t>
  </si>
  <si>
    <t>Moon</t>
  </si>
  <si>
    <t>Amethyst</t>
  </si>
  <si>
    <t>Citrine</t>
  </si>
  <si>
    <t>Opal</t>
  </si>
  <si>
    <t>Alabaster</t>
  </si>
  <si>
    <t>Turquoise</t>
  </si>
  <si>
    <t>Lapis Lazuli</t>
  </si>
  <si>
    <t>Jade</t>
  </si>
  <si>
    <t>Quartz</t>
  </si>
  <si>
    <t>Geode</t>
  </si>
  <si>
    <t>Septarian Nodule</t>
  </si>
  <si>
    <t>Tiberium</t>
  </si>
  <si>
    <t>Soulpeace</t>
  </si>
  <si>
    <t>Fluorite</t>
  </si>
  <si>
    <t>Smithsonite</t>
  </si>
  <si>
    <t>Vampire's Eye</t>
  </si>
  <si>
    <t>Sunstone</t>
  </si>
  <si>
    <t>Moonstone</t>
  </si>
  <si>
    <t>Bloodstone</t>
  </si>
  <si>
    <t>Expansions</t>
  </si>
  <si>
    <t>Uncut</t>
  </si>
  <si>
    <t>Total value:</t>
  </si>
  <si>
    <t>£0.00</t>
  </si>
  <si>
    <t>Gem</t>
  </si>
  <si>
    <t>Min Value</t>
  </si>
  <si>
    <t>Max Value</t>
  </si>
  <si>
    <t>Cut</t>
  </si>
  <si>
    <t>Worth Change</t>
  </si>
  <si>
    <t>Ingot</t>
  </si>
  <si>
    <t>Vial</t>
  </si>
  <si>
    <t>Iron</t>
  </si>
  <si>
    <t>Silver</t>
  </si>
  <si>
    <t>Gold</t>
  </si>
  <si>
    <t>Palladium</t>
  </si>
  <si>
    <t>Plutonium</t>
  </si>
  <si>
    <t>Copper</t>
  </si>
  <si>
    <t>Mummitomium</t>
  </si>
  <si>
    <t>Iridium</t>
  </si>
  <si>
    <t>Titanium</t>
  </si>
  <si>
    <t>Platinum</t>
  </si>
  <si>
    <t>Mercury</t>
  </si>
  <si>
    <t>Compendium</t>
  </si>
  <si>
    <t>Supernovium</t>
  </si>
  <si>
    <t>Woohooium</t>
  </si>
  <si>
    <t>Carbon Steel</t>
  </si>
  <si>
    <t>Tungsten Carbide</t>
  </si>
  <si>
    <t>Metal</t>
  </si>
  <si>
    <t>Ingot Min</t>
  </si>
  <si>
    <t>Ingot Max</t>
  </si>
  <si>
    <t>Ingot Expected</t>
  </si>
  <si>
    <t>Expected Value</t>
  </si>
  <si>
    <t>Ore</t>
  </si>
  <si>
    <t>Ore Min</t>
  </si>
  <si>
    <t>Ore Max</t>
  </si>
  <si>
    <t>Ore Expected</t>
  </si>
  <si>
    <t>Value</t>
  </si>
  <si>
    <t>Large Gems</t>
  </si>
  <si>
    <t>Large Ingots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</si>
</sst>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£-809]* #,##0.00_-;\-[$£-809]* #,##0.00_-;_-[$£-809]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3399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5842B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7F55DD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4" borderId="0" xfId="0" applyFont="1" applyFill="1" applyBorder="1" applyAlignment="1" applyProtection="1">
      <alignment textRotation="180"/>
    </xf>
    <xf numFmtId="0" fontId="1" fillId="3" borderId="0" xfId="0" applyFont="1" applyFill="1" applyBorder="1" applyAlignment="1" applyProtection="1">
      <alignment textRotation="180"/>
    </xf>
    <xf numFmtId="0" fontId="1" fillId="5" borderId="0" xfId="0" applyFont="1" applyFill="1" applyBorder="1" applyAlignment="1" applyProtection="1">
      <alignment textRotation="180"/>
    </xf>
    <xf numFmtId="0" fontId="0" fillId="0" borderId="0" xfId="0" applyFont="1" applyAlignment="1" applyProtection="1">
      <alignment textRotation="180"/>
    </xf>
    <xf numFmtId="0" fontId="0" fillId="0" borderId="0" xfId="0" applyFont="1" applyFill="1" applyAlignment="1" applyProtection="1">
      <alignment textRotation="180"/>
    </xf>
    <xf numFmtId="0" fontId="1" fillId="7" borderId="0" xfId="0" applyFont="1" applyFill="1" applyBorder="1" applyProtection="1"/>
    <xf numFmtId="0" fontId="0" fillId="0" borderId="0" xfId="0" applyProtection="1"/>
    <xf numFmtId="0" fontId="0" fillId="2" borderId="0" xfId="0" applyFill="1" applyProtection="1"/>
    <xf numFmtId="0" fontId="0" fillId="0" borderId="1" xfId="0" applyFill="1" applyBorder="1" applyProtection="1">
      <protection locked="0"/>
    </xf>
    <xf numFmtId="0" fontId="1" fillId="4" borderId="0" xfId="0" applyFont="1" applyFill="1" applyBorder="1" applyProtection="1"/>
    <xf numFmtId="0" fontId="1" fillId="3" borderId="0" xfId="0" applyFont="1" applyFill="1" applyBorder="1" applyProtection="1"/>
    <xf numFmtId="0" fontId="1" fillId="6" borderId="0" xfId="0" applyFont="1" applyFill="1" applyBorder="1" applyProtection="1"/>
    <xf numFmtId="0" fontId="1" fillId="5" borderId="0" xfId="0" applyFont="1" applyFill="1" applyBorder="1" applyProtection="1"/>
    <xf numFmtId="0" fontId="2" fillId="0" borderId="0" xfId="0" applyFont="1" applyFill="1" applyBorder="1" applyAlignment="1" applyProtection="1">
      <alignment textRotation="180"/>
    </xf>
    <xf numFmtId="0" fontId="1" fillId="7" borderId="0" xfId="0" applyFont="1" applyFill="1" applyBorder="1" applyAlignment="1" applyProtection="1">
      <alignment textRotation="180"/>
    </xf>
    <xf numFmtId="0" fontId="0" fillId="0" borderId="0" xfId="0" applyBorder="1" applyProtection="1"/>
    <xf numFmtId="0" fontId="0" fillId="2" borderId="0" xfId="0" applyFont="1" applyFill="1" applyAlignment="1" applyProtection="1">
      <alignment textRotation="180"/>
    </xf>
    <xf numFmtId="0" fontId="4" fillId="8" borderId="0" xfId="0" applyFont="1" applyFill="1"/>
    <xf numFmtId="0" fontId="1" fillId="7" borderId="0" xfId="0" applyFont="1" applyFill="1"/>
    <xf numFmtId="3" fontId="0" fillId="0" borderId="0" xfId="0" applyNumberFormat="1"/>
    <xf numFmtId="0" fontId="1" fillId="4" borderId="0" xfId="0" applyFont="1" applyFill="1"/>
    <xf numFmtId="0" fontId="1" fillId="3" borderId="0" xfId="0" applyFont="1" applyFill="1"/>
    <xf numFmtId="0" fontId="1" fillId="5" borderId="0" xfId="0" applyFont="1" applyFill="1"/>
    <xf numFmtId="0" fontId="1" fillId="6" borderId="0" xfId="0" applyFont="1" applyFill="1"/>
    <xf numFmtId="0" fontId="0" fillId="0" borderId="0" xfId="0" applyAlignment="1" applyProtection="1"/>
    <xf numFmtId="0" fontId="0" fillId="9" borderId="1" xfId="0" applyFill="1" applyBorder="1"/>
    <xf numFmtId="0" fontId="5" fillId="0" borderId="0" xfId="0" applyFont="1" applyProtection="1"/>
    <xf numFmtId="0" fontId="0" fillId="0" borderId="0" xfId="0" applyFill="1" applyProtection="1"/>
    <xf numFmtId="0" fontId="6" fillId="8" borderId="0" xfId="0" applyFont="1" applyFill="1"/>
    <xf numFmtId="0" fontId="0" fillId="10" borderId="1" xfId="0" applyFill="1" applyBorder="1" applyProtection="1">
      <protection locked="0"/>
    </xf>
    <xf numFmtId="0" fontId="6" fillId="8" borderId="1" xfId="0" applyFont="1" applyFill="1" applyBorder="1" applyProtection="1"/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0" fontId="6" fillId="8" borderId="1" xfId="0" applyNumberFormat="1" applyFont="1" applyFill="1" applyBorder="1" applyProtection="1"/>
    <xf numFmtId="0" fontId="8" fillId="0" borderId="0" xfId="0" applyFont="1" applyBorder="1" applyProtection="1"/>
    <xf numFmtId="164" fontId="8" fillId="0" borderId="0" xfId="0" applyNumberFormat="1" applyFont="1" applyBorder="1" applyProtection="1"/>
    <xf numFmtId="0" fontId="7" fillId="0" borderId="0" xfId="0" applyFont="1" applyBorder="1" applyProtection="1"/>
    <xf numFmtId="164" fontId="7" fillId="0" borderId="0" xfId="0" applyNumberFormat="1" applyFont="1" applyBorder="1" applyProtection="1"/>
    <xf numFmtId="0" fontId="0" fillId="0" borderId="0" xfId="0" applyFill="1" applyBorder="1" applyAlignment="1" applyProtection="1">
      <alignment horizontal="center" vertical="center" textRotation="255"/>
    </xf>
    <xf numFmtId="0" fontId="0" fillId="0" borderId="0" xfId="0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F55DD"/>
      <color rgb="FF3399FF"/>
      <color rgb="FFC3E3D0"/>
      <color rgb="FF008600"/>
      <color rgb="FFDCCCFC"/>
      <color rgb="FFFFFFCC"/>
      <color rgb="FF008080"/>
      <color rgb="FFD5842B"/>
      <color rgb="FFCC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53340</xdr:colOff>
          <xdr:row>1</xdr:row>
          <xdr:rowOff>495300</xdr:rowOff>
        </xdr:from>
        <xdr:to>
          <xdr:col>22</xdr:col>
          <xdr:colOff>1112520</xdr:colOff>
          <xdr:row>1</xdr:row>
          <xdr:rowOff>822960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Estimate Total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17</xdr:row>
          <xdr:rowOff>0</xdr:rowOff>
        </xdr:from>
        <xdr:to>
          <xdr:col>22</xdr:col>
          <xdr:colOff>7620</xdr:colOff>
          <xdr:row>19</xdr:row>
          <xdr:rowOff>15240</xdr:rowOff>
        </xdr:to>
        <xdr:sp macro="" textlink="">
          <xdr:nvSpPr>
            <xdr:cNvPr id="1035" name="WorldAdventure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19</xdr:row>
          <xdr:rowOff>0</xdr:rowOff>
        </xdr:from>
        <xdr:to>
          <xdr:col>22</xdr:col>
          <xdr:colOff>7620</xdr:colOff>
          <xdr:row>21</xdr:row>
          <xdr:rowOff>15240</xdr:rowOff>
        </xdr:to>
        <xdr:sp macro="" textlink="">
          <xdr:nvSpPr>
            <xdr:cNvPr id="1036" name="Ambition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167640</xdr:rowOff>
        </xdr:from>
        <xdr:to>
          <xdr:col>22</xdr:col>
          <xdr:colOff>7620</xdr:colOff>
          <xdr:row>23</xdr:row>
          <xdr:rowOff>0</xdr:rowOff>
        </xdr:to>
        <xdr:sp macro="" textlink="">
          <xdr:nvSpPr>
            <xdr:cNvPr id="1037" name="LateNigh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175260</xdr:rowOff>
        </xdr:from>
        <xdr:to>
          <xdr:col>22</xdr:col>
          <xdr:colOff>7620</xdr:colOff>
          <xdr:row>25</xdr:row>
          <xdr:rowOff>7620</xdr:rowOff>
        </xdr:to>
        <xdr:sp macro="" textlink="">
          <xdr:nvSpPr>
            <xdr:cNvPr id="1038" name="Supernatural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26</xdr:row>
          <xdr:rowOff>7620</xdr:rowOff>
        </xdr:from>
        <xdr:to>
          <xdr:col>22</xdr:col>
          <xdr:colOff>0</xdr:colOff>
          <xdr:row>27</xdr:row>
          <xdr:rowOff>175260</xdr:rowOff>
        </xdr:to>
        <xdr:sp macro="" textlink="">
          <xdr:nvSpPr>
            <xdr:cNvPr id="1040" name="SetExpansion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Expansions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</xdr:row>
          <xdr:rowOff>342900</xdr:rowOff>
        </xdr:from>
        <xdr:to>
          <xdr:col>8</xdr:col>
          <xdr:colOff>1173480</xdr:colOff>
          <xdr:row>2</xdr:row>
          <xdr:rowOff>30480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Estimate Total 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7620</xdr:rowOff>
        </xdr:from>
        <xdr:to>
          <xdr:col>3</xdr:col>
          <xdr:colOff>1623060</xdr:colOff>
          <xdr:row>5</xdr:row>
          <xdr:rowOff>114300</xdr:rowOff>
        </xdr:to>
        <xdr:sp macro="" textlink="">
          <xdr:nvSpPr>
            <xdr:cNvPr id="5122" name="IncludeGem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3</xdr:row>
          <xdr:rowOff>7620</xdr:rowOff>
        </xdr:from>
        <xdr:to>
          <xdr:col>6</xdr:col>
          <xdr:colOff>1760220</xdr:colOff>
          <xdr:row>5</xdr:row>
          <xdr:rowOff>114300</xdr:rowOff>
        </xdr:to>
        <xdr:sp macro="" textlink="">
          <xdr:nvSpPr>
            <xdr:cNvPr id="5123" name="IncludeMetal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19519-470A-4D48-908F-CC07FA327483}">
  <sheetPr codeName="Sheet1"/>
  <dimension ref="A1:Y32"/>
  <sheetViews>
    <sheetView showGridLines="0" showRowColHeaders="0" tabSelected="1" workbookViewId="0">
      <selection activeCell="C3" sqref="C3"/>
    </sheetView>
  </sheetViews>
  <sheetFormatPr defaultRowHeight="14.4" x14ac:dyDescent="0.3"/>
  <cols>
    <col min="1" max="1" width="5.21875" style="7" customWidth="1"/>
    <col min="2" max="2" width="15.33203125" style="7" customWidth="1"/>
    <col min="3" max="19" width="3.5546875" style="7" customWidth="1"/>
    <col min="20" max="21" width="8.88671875" style="7"/>
    <col min="22" max="22" width="10.88671875" style="7" customWidth="1"/>
    <col min="23" max="23" width="16.5546875" style="7" customWidth="1"/>
    <col min="24" max="16384" width="8.88671875" style="7"/>
  </cols>
  <sheetData>
    <row r="1" spans="1:25" x14ac:dyDescent="0.3">
      <c r="C1" s="40" t="s">
        <v>17</v>
      </c>
      <c r="D1" s="40"/>
      <c r="E1" s="40"/>
      <c r="F1" s="40"/>
      <c r="G1" s="40"/>
      <c r="H1" s="40"/>
      <c r="I1" s="40"/>
      <c r="J1" s="40"/>
      <c r="K1" s="40"/>
      <c r="L1" s="40" t="s">
        <v>44</v>
      </c>
      <c r="M1" s="40"/>
      <c r="N1" s="40"/>
      <c r="O1" s="40"/>
      <c r="P1" s="40"/>
      <c r="Q1" s="40"/>
      <c r="R1" s="40"/>
      <c r="S1" s="40"/>
    </row>
    <row r="2" spans="1:25" s="4" customFormat="1" ht="65.400000000000006" x14ac:dyDescent="0.3">
      <c r="A2" s="14"/>
      <c r="B2" s="14"/>
      <c r="C2" s="15" t="s">
        <v>45</v>
      </c>
      <c r="D2" s="15" t="s">
        <v>2</v>
      </c>
      <c r="E2" s="15" t="s">
        <v>10</v>
      </c>
      <c r="F2" s="15" t="s">
        <v>11</v>
      </c>
      <c r="G2" s="15" t="s">
        <v>12</v>
      </c>
      <c r="H2" s="15" t="s">
        <v>13</v>
      </c>
      <c r="I2" s="15" t="s">
        <v>14</v>
      </c>
      <c r="J2" s="15" t="s">
        <v>15</v>
      </c>
      <c r="K2" s="15" t="s">
        <v>16</v>
      </c>
      <c r="L2" s="1" t="s">
        <v>18</v>
      </c>
      <c r="M2" s="1" t="s">
        <v>19</v>
      </c>
      <c r="N2" s="1" t="s">
        <v>20</v>
      </c>
      <c r="O2" s="1" t="s">
        <v>21</v>
      </c>
      <c r="P2" s="2" t="s">
        <v>22</v>
      </c>
      <c r="Q2" s="3" t="s">
        <v>23</v>
      </c>
      <c r="R2" s="3" t="s">
        <v>24</v>
      </c>
      <c r="S2" s="3" t="s">
        <v>25</v>
      </c>
      <c r="U2" s="17"/>
      <c r="V2" s="17"/>
      <c r="W2" s="17"/>
      <c r="X2" s="17"/>
      <c r="Y2" s="5"/>
    </row>
    <row r="3" spans="1:25" ht="14.4" customHeight="1" x14ac:dyDescent="0.3">
      <c r="A3" s="39" t="s">
        <v>17</v>
      </c>
      <c r="B3" s="6" t="s">
        <v>0</v>
      </c>
      <c r="C3" s="9"/>
      <c r="D3" s="9"/>
      <c r="E3" s="9"/>
      <c r="F3" s="9"/>
      <c r="G3" s="9"/>
      <c r="H3" s="9"/>
      <c r="I3" s="9"/>
      <c r="J3" s="9"/>
      <c r="K3" s="9"/>
      <c r="L3" s="30"/>
      <c r="M3" s="30"/>
      <c r="N3" s="30"/>
      <c r="O3" s="30"/>
      <c r="P3" s="30"/>
      <c r="Q3" s="30"/>
      <c r="R3" s="30"/>
      <c r="S3" s="30"/>
      <c r="U3" s="8"/>
      <c r="V3" s="8"/>
      <c r="W3" s="8"/>
      <c r="X3" s="8"/>
    </row>
    <row r="4" spans="1:25" x14ac:dyDescent="0.3">
      <c r="A4" s="39"/>
      <c r="B4" s="6" t="s">
        <v>1</v>
      </c>
      <c r="C4" s="9"/>
      <c r="D4" s="9"/>
      <c r="E4" s="9"/>
      <c r="F4" s="9"/>
      <c r="G4" s="9"/>
      <c r="H4" s="9"/>
      <c r="I4" s="9"/>
      <c r="J4" s="9"/>
      <c r="K4" s="9"/>
      <c r="L4" s="30"/>
      <c r="M4" s="30"/>
      <c r="N4" s="30"/>
      <c r="O4" s="30"/>
      <c r="P4" s="30"/>
      <c r="Q4" s="30"/>
      <c r="R4" s="30"/>
      <c r="S4" s="30"/>
      <c r="U4" s="8"/>
      <c r="V4" s="8" t="s">
        <v>46</v>
      </c>
      <c r="W4" s="28" t="s">
        <v>47</v>
      </c>
      <c r="X4" s="8"/>
    </row>
    <row r="5" spans="1:25" x14ac:dyDescent="0.3">
      <c r="A5" s="39"/>
      <c r="B5" s="6" t="s">
        <v>2</v>
      </c>
      <c r="C5" s="9"/>
      <c r="D5" s="9"/>
      <c r="E5" s="9"/>
      <c r="F5" s="9"/>
      <c r="G5" s="9"/>
      <c r="H5" s="9"/>
      <c r="I5" s="9"/>
      <c r="J5" s="9"/>
      <c r="K5" s="9"/>
      <c r="L5" s="30"/>
      <c r="M5" s="30"/>
      <c r="N5" s="30"/>
      <c r="O5" s="30"/>
      <c r="P5" s="30"/>
      <c r="Q5" s="30"/>
      <c r="R5" s="30"/>
      <c r="S5" s="30"/>
      <c r="U5" s="8"/>
      <c r="V5" s="8"/>
      <c r="W5" s="8"/>
      <c r="X5" s="8"/>
    </row>
    <row r="6" spans="1:25" x14ac:dyDescent="0.3">
      <c r="A6" s="39"/>
      <c r="B6" s="6" t="s">
        <v>3</v>
      </c>
      <c r="C6" s="9"/>
      <c r="D6" s="9"/>
      <c r="E6" s="9"/>
      <c r="F6" s="9"/>
      <c r="G6" s="9"/>
      <c r="H6" s="9"/>
      <c r="I6" s="9"/>
      <c r="J6" s="9"/>
      <c r="K6" s="9"/>
      <c r="L6" s="30"/>
      <c r="M6" s="30"/>
      <c r="N6" s="30"/>
      <c r="O6" s="30"/>
      <c r="P6" s="30"/>
      <c r="Q6" s="30"/>
      <c r="R6" s="30"/>
      <c r="S6" s="30"/>
      <c r="U6" s="8"/>
      <c r="V6" s="8"/>
      <c r="W6" s="8"/>
      <c r="X6" s="8"/>
    </row>
    <row r="7" spans="1:25" x14ac:dyDescent="0.3">
      <c r="A7" s="39"/>
      <c r="B7" s="6" t="s">
        <v>4</v>
      </c>
      <c r="C7" s="9"/>
      <c r="D7" s="9"/>
      <c r="E7" s="9"/>
      <c r="F7" s="9"/>
      <c r="G7" s="9"/>
      <c r="H7" s="9"/>
      <c r="I7" s="9"/>
      <c r="J7" s="9"/>
      <c r="K7" s="9"/>
      <c r="L7" s="30"/>
      <c r="M7" s="30"/>
      <c r="N7" s="30"/>
      <c r="O7" s="30"/>
      <c r="P7" s="30"/>
      <c r="Q7" s="30"/>
      <c r="R7" s="30"/>
      <c r="S7" s="30"/>
    </row>
    <row r="8" spans="1:25" x14ac:dyDescent="0.3">
      <c r="A8" s="39"/>
      <c r="B8" s="6" t="s">
        <v>5</v>
      </c>
      <c r="C8" s="9"/>
      <c r="D8" s="9"/>
      <c r="E8" s="9"/>
      <c r="F8" s="9"/>
      <c r="G8" s="9"/>
      <c r="H8" s="9"/>
      <c r="I8" s="9"/>
      <c r="J8" s="9"/>
      <c r="K8" s="9"/>
      <c r="L8" s="30"/>
      <c r="M8" s="30"/>
      <c r="N8" s="30"/>
      <c r="O8" s="30"/>
      <c r="P8" s="30"/>
      <c r="Q8" s="30"/>
      <c r="R8" s="30"/>
      <c r="S8" s="30"/>
    </row>
    <row r="9" spans="1:25" x14ac:dyDescent="0.3">
      <c r="A9" s="39"/>
      <c r="B9" s="6" t="s">
        <v>6</v>
      </c>
      <c r="C9" s="9"/>
      <c r="D9" s="9"/>
      <c r="E9" s="9"/>
      <c r="F9" s="9"/>
      <c r="G9" s="9"/>
      <c r="H9" s="9"/>
      <c r="I9" s="9"/>
      <c r="J9" s="9"/>
      <c r="K9" s="9"/>
      <c r="L9" s="30"/>
      <c r="M9" s="30"/>
      <c r="N9" s="30"/>
      <c r="O9" s="30"/>
      <c r="P9" s="30"/>
      <c r="Q9" s="30"/>
      <c r="R9" s="30"/>
      <c r="S9" s="30"/>
    </row>
    <row r="10" spans="1:25" x14ac:dyDescent="0.3">
      <c r="A10" s="39"/>
      <c r="B10" s="6" t="s">
        <v>7</v>
      </c>
      <c r="C10" s="9"/>
      <c r="D10" s="9"/>
      <c r="E10" s="9"/>
      <c r="F10" s="9"/>
      <c r="G10" s="9"/>
      <c r="H10" s="9"/>
      <c r="I10" s="9"/>
      <c r="J10" s="9"/>
      <c r="K10" s="9"/>
      <c r="L10" s="30"/>
      <c r="M10" s="30"/>
      <c r="N10" s="30"/>
      <c r="O10" s="30"/>
      <c r="P10" s="30"/>
      <c r="Q10" s="30"/>
      <c r="R10" s="30"/>
      <c r="S10" s="30"/>
    </row>
    <row r="11" spans="1:25" x14ac:dyDescent="0.3">
      <c r="A11" s="39"/>
      <c r="B11" s="6" t="s">
        <v>8</v>
      </c>
      <c r="C11" s="9"/>
      <c r="D11" s="9"/>
      <c r="E11" s="9"/>
      <c r="F11" s="9"/>
      <c r="G11" s="9"/>
      <c r="H11" s="9"/>
      <c r="I11" s="9"/>
      <c r="J11" s="9"/>
      <c r="K11" s="9"/>
      <c r="L11" s="30"/>
      <c r="M11" s="30"/>
      <c r="N11" s="30"/>
      <c r="O11" s="30"/>
      <c r="P11" s="30"/>
      <c r="Q11" s="30"/>
      <c r="R11" s="30"/>
      <c r="S11" s="30"/>
    </row>
    <row r="12" spans="1:25" x14ac:dyDescent="0.3">
      <c r="A12" s="39"/>
      <c r="B12" s="6" t="s">
        <v>9</v>
      </c>
      <c r="C12" s="9"/>
      <c r="D12" s="9"/>
      <c r="E12" s="9"/>
      <c r="F12" s="9"/>
      <c r="G12" s="9"/>
      <c r="H12" s="9"/>
      <c r="I12" s="9"/>
      <c r="J12" s="9"/>
      <c r="K12" s="9"/>
      <c r="L12" s="30"/>
      <c r="M12" s="30"/>
      <c r="N12" s="30"/>
      <c r="O12" s="30"/>
      <c r="P12" s="30"/>
      <c r="Q12" s="30"/>
      <c r="R12" s="30"/>
      <c r="S12" s="30"/>
    </row>
    <row r="13" spans="1:25" x14ac:dyDescent="0.3">
      <c r="A13" s="39" t="s">
        <v>44</v>
      </c>
      <c r="B13" s="10" t="s">
        <v>26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</row>
    <row r="14" spans="1:25" x14ac:dyDescent="0.3">
      <c r="A14" s="39"/>
      <c r="B14" s="10" t="s">
        <v>27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</row>
    <row r="15" spans="1:25" x14ac:dyDescent="0.3">
      <c r="A15" s="39"/>
      <c r="B15" s="10" t="s">
        <v>28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</row>
    <row r="16" spans="1:25" x14ac:dyDescent="0.3">
      <c r="A16" s="39"/>
      <c r="B16" s="10" t="s">
        <v>29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U16" s="27" t="s">
        <v>44</v>
      </c>
    </row>
    <row r="17" spans="1:19" x14ac:dyDescent="0.3">
      <c r="A17" s="39"/>
      <c r="B17" s="10" t="s">
        <v>30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</row>
    <row r="18" spans="1:19" x14ac:dyDescent="0.3">
      <c r="A18" s="39"/>
      <c r="B18" s="10" t="s">
        <v>31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</row>
    <row r="19" spans="1:19" x14ac:dyDescent="0.3">
      <c r="A19" s="39"/>
      <c r="B19" s="10" t="s">
        <v>32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</row>
    <row r="20" spans="1:19" x14ac:dyDescent="0.3">
      <c r="A20" s="39"/>
      <c r="B20" s="10" t="s">
        <v>33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</row>
    <row r="21" spans="1:19" x14ac:dyDescent="0.3">
      <c r="A21" s="39"/>
      <c r="B21" s="10" t="s">
        <v>34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</row>
    <row r="22" spans="1:19" x14ac:dyDescent="0.3">
      <c r="A22" s="39"/>
      <c r="B22" s="10" t="s">
        <v>35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</row>
    <row r="23" spans="1:19" x14ac:dyDescent="0.3">
      <c r="A23" s="39"/>
      <c r="B23" s="10" t="s">
        <v>36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</row>
    <row r="24" spans="1:19" x14ac:dyDescent="0.3">
      <c r="A24" s="39"/>
      <c r="B24" s="10" t="s">
        <v>37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</row>
    <row r="25" spans="1:19" x14ac:dyDescent="0.3">
      <c r="A25" s="39"/>
      <c r="B25" s="11" t="s">
        <v>38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</row>
    <row r="26" spans="1:19" x14ac:dyDescent="0.3">
      <c r="A26" s="39"/>
      <c r="B26" s="12" t="s">
        <v>39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</row>
    <row r="27" spans="1:19" x14ac:dyDescent="0.3">
      <c r="A27" s="39"/>
      <c r="B27" s="12" t="s">
        <v>40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</row>
    <row r="28" spans="1:19" x14ac:dyDescent="0.3">
      <c r="A28" s="39"/>
      <c r="B28" s="13" t="s">
        <v>41</v>
      </c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</row>
    <row r="29" spans="1:19" x14ac:dyDescent="0.3">
      <c r="A29" s="39"/>
      <c r="B29" s="13" t="s">
        <v>42</v>
      </c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</row>
    <row r="30" spans="1:19" x14ac:dyDescent="0.3">
      <c r="A30" s="39"/>
      <c r="B30" s="13" t="s">
        <v>43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</row>
    <row r="31" spans="1:19" x14ac:dyDescent="0.3">
      <c r="A31" s="16"/>
      <c r="B31" s="16"/>
    </row>
    <row r="32" spans="1:19" x14ac:dyDescent="0.3">
      <c r="A32" s="16"/>
      <c r="B32" s="16"/>
    </row>
  </sheetData>
  <sheetProtection sheet="1" objects="1" scenarios="1" selectLockedCells="1"/>
  <mergeCells count="4">
    <mergeCell ref="A3:A12"/>
    <mergeCell ref="A13:A30"/>
    <mergeCell ref="C1:K1"/>
    <mergeCell ref="L1:S1"/>
  </mergeCells>
  <dataValidations count="1">
    <dataValidation type="whole" allowBlank="1" showInputMessage="1" showErrorMessage="1" sqref="C3:S30" xr:uid="{97F63980-EDC2-427A-AE52-311336DD2BB7}">
      <formula1>0</formula1>
      <formula2>1000000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WorldAdventures">
          <controlPr defaultSize="0" autoLine="0" r:id="rId5">
            <anchor moveWithCells="1">
              <from>
                <xdr:col>20</xdr:col>
                <xdr:colOff>0</xdr:colOff>
                <xdr:row>17</xdr:row>
                <xdr:rowOff>0</xdr:rowOff>
              </from>
              <to>
                <xdr:col>22</xdr:col>
                <xdr:colOff>7620</xdr:colOff>
                <xdr:row>19</xdr:row>
                <xdr:rowOff>15240</xdr:rowOff>
              </to>
            </anchor>
          </controlPr>
        </control>
      </mc:Choice>
      <mc:Fallback>
        <control shapeId="1035" r:id="rId4" name="WorldAdventures"/>
      </mc:Fallback>
    </mc:AlternateContent>
    <mc:AlternateContent xmlns:mc="http://schemas.openxmlformats.org/markup-compatibility/2006">
      <mc:Choice Requires="x14">
        <control shapeId="1036" r:id="rId6" name="Ambitions">
          <controlPr defaultSize="0" autoLine="0" r:id="rId7">
            <anchor moveWithCells="1">
              <from>
                <xdr:col>20</xdr:col>
                <xdr:colOff>0</xdr:colOff>
                <xdr:row>19</xdr:row>
                <xdr:rowOff>0</xdr:rowOff>
              </from>
              <to>
                <xdr:col>22</xdr:col>
                <xdr:colOff>7620</xdr:colOff>
                <xdr:row>21</xdr:row>
                <xdr:rowOff>15240</xdr:rowOff>
              </to>
            </anchor>
          </controlPr>
        </control>
      </mc:Choice>
      <mc:Fallback>
        <control shapeId="1036" r:id="rId6" name="Ambitions"/>
      </mc:Fallback>
    </mc:AlternateContent>
    <mc:AlternateContent xmlns:mc="http://schemas.openxmlformats.org/markup-compatibility/2006">
      <mc:Choice Requires="x14">
        <control shapeId="1037" r:id="rId8" name="LateNight">
          <controlPr defaultSize="0" autoLine="0" r:id="rId9">
            <anchor moveWithCells="1">
              <from>
                <xdr:col>20</xdr:col>
                <xdr:colOff>0</xdr:colOff>
                <xdr:row>20</xdr:row>
                <xdr:rowOff>167640</xdr:rowOff>
              </from>
              <to>
                <xdr:col>22</xdr:col>
                <xdr:colOff>7620</xdr:colOff>
                <xdr:row>23</xdr:row>
                <xdr:rowOff>0</xdr:rowOff>
              </to>
            </anchor>
          </controlPr>
        </control>
      </mc:Choice>
      <mc:Fallback>
        <control shapeId="1037" r:id="rId8" name="LateNight"/>
      </mc:Fallback>
    </mc:AlternateContent>
    <mc:AlternateContent xmlns:mc="http://schemas.openxmlformats.org/markup-compatibility/2006">
      <mc:Choice Requires="x14">
        <control shapeId="1038" r:id="rId10" name="Supernatural">
          <controlPr defaultSize="0" autoLine="0" r:id="rId11">
            <anchor moveWithCells="1">
              <from>
                <xdr:col>20</xdr:col>
                <xdr:colOff>0</xdr:colOff>
                <xdr:row>22</xdr:row>
                <xdr:rowOff>175260</xdr:rowOff>
              </from>
              <to>
                <xdr:col>22</xdr:col>
                <xdr:colOff>7620</xdr:colOff>
                <xdr:row>25</xdr:row>
                <xdr:rowOff>7620</xdr:rowOff>
              </to>
            </anchor>
          </controlPr>
        </control>
      </mc:Choice>
      <mc:Fallback>
        <control shapeId="1038" r:id="rId10" name="Supernatural"/>
      </mc:Fallback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CalculateGems">
            <anchor moveWithCells="1" sizeWithCells="1">
              <from>
                <xdr:col>21</xdr:col>
                <xdr:colOff>53340</xdr:colOff>
                <xdr:row>1</xdr:row>
                <xdr:rowOff>495300</xdr:rowOff>
              </from>
              <to>
                <xdr:col>22</xdr:col>
                <xdr:colOff>1112520</xdr:colOff>
                <xdr:row>1</xdr:row>
                <xdr:rowOff>822960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3" name="SetExpansions">
          <controlPr defaultSize="0" print="0" autoFill="0" autoPict="0" macro="[0]!Sheet1.SetExpansions">
            <anchor moveWithCells="1" sizeWithCells="1">
              <from>
                <xdr:col>20</xdr:col>
                <xdr:colOff>0</xdr:colOff>
                <xdr:row>26</xdr:row>
                <xdr:rowOff>7620</xdr:rowOff>
              </from>
              <to>
                <xdr:col>22</xdr:col>
                <xdr:colOff>0</xdr:colOff>
                <xdr:row>27</xdr:row>
                <xdr:rowOff>175260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A53CC-D4E7-47E4-A4EB-84EF5672A746}">
  <sheetPr codeName="Sheet3"/>
  <dimension ref="A1:K18"/>
  <sheetViews>
    <sheetView showGridLines="0" showRowColHeaders="0" workbookViewId="0">
      <selection activeCell="C3" sqref="C3"/>
    </sheetView>
  </sheetViews>
  <sheetFormatPr defaultRowHeight="14.4" x14ac:dyDescent="0.3"/>
  <cols>
    <col min="2" max="2" width="15.33203125" customWidth="1"/>
    <col min="3" max="5" width="4.33203125" customWidth="1"/>
    <col min="8" max="8" width="14" customWidth="1"/>
    <col min="9" max="9" width="16.44140625" customWidth="1"/>
  </cols>
  <sheetData>
    <row r="1" spans="1:11" x14ac:dyDescent="0.3">
      <c r="C1" s="40"/>
      <c r="D1" s="40"/>
      <c r="E1" s="40"/>
      <c r="F1" s="25"/>
      <c r="G1" s="25"/>
      <c r="H1" s="25"/>
      <c r="I1" s="25"/>
      <c r="J1" s="25"/>
      <c r="K1" s="25"/>
    </row>
    <row r="2" spans="1:11" ht="50.4" customHeight="1" x14ac:dyDescent="0.3">
      <c r="B2" s="14"/>
      <c r="C2" s="15" t="s">
        <v>76</v>
      </c>
      <c r="D2" s="15" t="s">
        <v>53</v>
      </c>
      <c r="E2" s="1" t="s">
        <v>54</v>
      </c>
      <c r="G2" s="17"/>
      <c r="H2" s="17"/>
      <c r="I2" s="17"/>
      <c r="J2" s="17"/>
    </row>
    <row r="3" spans="1:11" x14ac:dyDescent="0.3">
      <c r="A3" s="39"/>
      <c r="B3" s="6" t="s">
        <v>55</v>
      </c>
      <c r="C3" s="9"/>
      <c r="D3" s="9"/>
      <c r="E3" s="26"/>
      <c r="G3" s="8"/>
      <c r="H3" s="8"/>
      <c r="I3" s="8"/>
      <c r="J3" s="8"/>
    </row>
    <row r="4" spans="1:11" x14ac:dyDescent="0.3">
      <c r="A4" s="39"/>
      <c r="B4" s="6" t="s">
        <v>56</v>
      </c>
      <c r="C4" s="9"/>
      <c r="D4" s="9"/>
      <c r="E4" s="26"/>
      <c r="G4" s="8"/>
      <c r="H4" s="8" t="s">
        <v>46</v>
      </c>
      <c r="I4" s="28" t="s">
        <v>47</v>
      </c>
      <c r="J4" s="8"/>
    </row>
    <row r="5" spans="1:11" x14ac:dyDescent="0.3">
      <c r="A5" s="39"/>
      <c r="B5" s="6" t="s">
        <v>57</v>
      </c>
      <c r="C5" s="9"/>
      <c r="D5" s="9"/>
      <c r="E5" s="26"/>
      <c r="G5" s="8"/>
      <c r="H5" s="8"/>
      <c r="I5" s="8"/>
      <c r="J5" s="8"/>
    </row>
    <row r="6" spans="1:11" x14ac:dyDescent="0.3">
      <c r="A6" s="39"/>
      <c r="B6" s="6" t="s">
        <v>58</v>
      </c>
      <c r="C6" s="9"/>
      <c r="D6" s="9"/>
      <c r="E6" s="26"/>
      <c r="G6" s="8"/>
      <c r="H6" s="8"/>
      <c r="I6" s="8"/>
      <c r="J6" s="8"/>
    </row>
    <row r="7" spans="1:11" x14ac:dyDescent="0.3">
      <c r="A7" s="39"/>
      <c r="B7" s="6" t="s">
        <v>59</v>
      </c>
      <c r="C7" s="9"/>
      <c r="D7" s="9"/>
      <c r="E7" s="26"/>
    </row>
    <row r="8" spans="1:11" x14ac:dyDescent="0.3">
      <c r="A8" s="39" t="s">
        <v>44</v>
      </c>
      <c r="B8" s="10" t="s">
        <v>60</v>
      </c>
      <c r="C8" s="30"/>
      <c r="D8" s="30"/>
      <c r="E8" s="26"/>
    </row>
    <row r="9" spans="1:11" x14ac:dyDescent="0.3">
      <c r="A9" s="39"/>
      <c r="B9" s="10" t="s">
        <v>61</v>
      </c>
      <c r="C9" s="30"/>
      <c r="D9" s="30"/>
      <c r="E9" s="26"/>
    </row>
    <row r="10" spans="1:11" x14ac:dyDescent="0.3">
      <c r="A10" s="39"/>
      <c r="B10" s="10" t="s">
        <v>62</v>
      </c>
      <c r="C10" s="30"/>
      <c r="D10" s="30"/>
      <c r="E10" s="26"/>
    </row>
    <row r="11" spans="1:11" x14ac:dyDescent="0.3">
      <c r="A11" s="39"/>
      <c r="B11" s="10" t="s">
        <v>63</v>
      </c>
      <c r="C11" s="30"/>
      <c r="D11" s="30"/>
      <c r="E11" s="26"/>
    </row>
    <row r="12" spans="1:11" x14ac:dyDescent="0.3">
      <c r="A12" s="39"/>
      <c r="B12" s="10" t="s">
        <v>64</v>
      </c>
      <c r="C12" s="30"/>
      <c r="D12" s="30"/>
      <c r="E12" s="26"/>
    </row>
    <row r="13" spans="1:11" x14ac:dyDescent="0.3">
      <c r="A13" s="39"/>
      <c r="B13" s="10" t="s">
        <v>65</v>
      </c>
      <c r="C13" s="30"/>
      <c r="D13" s="30"/>
      <c r="E13" s="30"/>
    </row>
    <row r="14" spans="1:11" x14ac:dyDescent="0.3">
      <c r="A14" s="39"/>
      <c r="B14" s="10" t="s">
        <v>66</v>
      </c>
      <c r="C14" s="30"/>
      <c r="D14" s="30"/>
      <c r="E14" s="26"/>
    </row>
    <row r="15" spans="1:11" x14ac:dyDescent="0.3">
      <c r="A15" s="39"/>
      <c r="B15" s="10" t="s">
        <v>67</v>
      </c>
      <c r="C15" s="30"/>
      <c r="D15" s="30"/>
      <c r="E15" s="26"/>
    </row>
    <row r="16" spans="1:11" x14ac:dyDescent="0.3">
      <c r="A16" s="39"/>
      <c r="B16" s="11" t="s">
        <v>68</v>
      </c>
      <c r="C16" s="30"/>
      <c r="D16" s="30"/>
      <c r="E16" s="26"/>
    </row>
    <row r="17" spans="1:5" x14ac:dyDescent="0.3">
      <c r="A17" s="39"/>
      <c r="B17" s="12" t="s">
        <v>69</v>
      </c>
      <c r="C17" s="30"/>
      <c r="D17" s="30"/>
      <c r="E17" s="26"/>
    </row>
    <row r="18" spans="1:5" x14ac:dyDescent="0.3">
      <c r="A18" s="39"/>
      <c r="B18" s="12" t="s">
        <v>70</v>
      </c>
      <c r="C18" s="30"/>
      <c r="D18" s="30"/>
      <c r="E18" s="26"/>
    </row>
  </sheetData>
  <sheetProtection sheet="1" objects="1" scenarios="1" selectLockedCells="1"/>
  <mergeCells count="3">
    <mergeCell ref="A3:A7"/>
    <mergeCell ref="A8:A18"/>
    <mergeCell ref="C1:E1"/>
  </mergeCells>
  <dataValidations count="1">
    <dataValidation type="whole" allowBlank="1" showInputMessage="1" showErrorMessage="1" sqref="C3:D18 E13" xr:uid="{BC9EB1E7-C73A-455A-8946-2701F439DD31}">
      <formula1>0</formula1>
      <formula2>1000000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alculateMetals">
                <anchor moveWithCells="1" sizeWithCells="1">
                  <from>
                    <xdr:col>7</xdr:col>
                    <xdr:colOff>60960</xdr:colOff>
                    <xdr:row>1</xdr:row>
                    <xdr:rowOff>342900</xdr:rowOff>
                  </from>
                  <to>
                    <xdr:col>8</xdr:col>
                    <xdr:colOff>1173480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ED83-A644-4217-80A6-45CE96617D73}">
  <sheetPr codeName="Sheet4"/>
  <dimension ref="A1:F3"/>
  <sheetViews>
    <sheetView showGridLines="0" showRowColHeaders="0" workbookViewId="0">
      <selection activeCell="A4" sqref="A4"/>
    </sheetView>
  </sheetViews>
  <sheetFormatPr defaultColWidth="25.77734375" defaultRowHeight="14.4" x14ac:dyDescent="0.3"/>
  <cols>
    <col min="1" max="2" width="25.77734375" style="32"/>
    <col min="3" max="3" width="25.77734375" style="33"/>
    <col min="5" max="5" width="25.77734375" style="32"/>
    <col min="6" max="6" width="25.77734375" style="33"/>
  </cols>
  <sheetData>
    <row r="1" spans="1:6" s="35" customFormat="1" ht="28.8" x14ac:dyDescent="0.55000000000000004">
      <c r="A1" s="35" t="s">
        <v>81</v>
      </c>
      <c r="C1" s="36"/>
      <c r="E1" s="35" t="s">
        <v>82</v>
      </c>
      <c r="F1" s="36"/>
    </row>
    <row r="2" spans="1:6" s="37" customFormat="1" ht="15.6" x14ac:dyDescent="0.3">
      <c r="C2" s="38"/>
      <c r="F2" s="38"/>
    </row>
    <row r="3" spans="1:6" ht="21" x14ac:dyDescent="0.4">
      <c r="A3" s="31" t="s">
        <v>48</v>
      </c>
      <c r="B3" s="31" t="s">
        <v>51</v>
      </c>
      <c r="C3" s="34" t="s">
        <v>80</v>
      </c>
      <c r="E3" s="31" t="s">
        <v>71</v>
      </c>
      <c r="F3" s="34" t="s">
        <v>80</v>
      </c>
    </row>
  </sheetData>
  <sheetProtection sheet="1" objects="1" scenarios="1" selectLockedCells="1"/>
  <dataValidations count="1">
    <dataValidation type="decimal" allowBlank="1" showInputMessage="1" showErrorMessage="1" sqref="F4:F1048576 C4:C1048576" xr:uid="{9092855E-B9C4-4CA5-AA6B-BEEFFE770F54}">
      <formula1>0</formula1>
      <formula2>10000000000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IncludeMetals">
          <controlPr defaultSize="0" autoLine="0" r:id="rId4">
            <anchor moveWithCells="1">
              <from>
                <xdr:col>6</xdr:col>
                <xdr:colOff>182880</xdr:colOff>
                <xdr:row>3</xdr:row>
                <xdr:rowOff>7620</xdr:rowOff>
              </from>
              <to>
                <xdr:col>6</xdr:col>
                <xdr:colOff>1760220</xdr:colOff>
                <xdr:row>5</xdr:row>
                <xdr:rowOff>114300</xdr:rowOff>
              </to>
            </anchor>
          </controlPr>
        </control>
      </mc:Choice>
      <mc:Fallback>
        <control shapeId="5123" r:id="rId3" name="IncludeMetals"/>
      </mc:Fallback>
    </mc:AlternateContent>
    <mc:AlternateContent xmlns:mc="http://schemas.openxmlformats.org/markup-compatibility/2006">
      <mc:Choice Requires="x14">
        <control shapeId="5122" r:id="rId5" name="IncludeGems">
          <controlPr defaultSize="0" autoLine="0" autoPict="0" r:id="rId6">
            <anchor moveWithCells="1">
              <from>
                <xdr:col>3</xdr:col>
                <xdr:colOff>175260</xdr:colOff>
                <xdr:row>3</xdr:row>
                <xdr:rowOff>7620</xdr:rowOff>
              </from>
              <to>
                <xdr:col>3</xdr:col>
                <xdr:colOff>1623060</xdr:colOff>
                <xdr:row>5</xdr:row>
                <xdr:rowOff>114300</xdr:rowOff>
              </to>
            </anchor>
          </controlPr>
        </control>
      </mc:Choice>
      <mc:Fallback>
        <control shapeId="5122" r:id="rId5" name="IncludeGem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36FF3-027C-4B9E-BA54-13F5EEECA370}">
  <sheetPr codeName="Sheet2"/>
  <dimension ref="A1:G47"/>
  <sheetViews>
    <sheetView showRowColHeaders="0" workbookViewId="0"/>
  </sheetViews>
  <sheetFormatPr defaultColWidth="19.5546875" defaultRowHeight="14.4" x14ac:dyDescent="0.3"/>
  <sheetData>
    <row r="1" spans="1:7" ht="21" x14ac:dyDescent="0.4">
      <c r="A1" s="29" t="s">
        <v>48</v>
      </c>
      <c r="B1" s="18" t="s">
        <v>49</v>
      </c>
      <c r="C1" s="18" t="s">
        <v>50</v>
      </c>
      <c r="D1" s="18" t="s">
        <v>75</v>
      </c>
      <c r="F1" s="29" t="s">
        <v>51</v>
      </c>
      <c r="G1" s="18" t="s">
        <v>52</v>
      </c>
    </row>
    <row r="2" spans="1:7" x14ac:dyDescent="0.3">
      <c r="A2" s="19" t="s">
        <v>0</v>
      </c>
      <c r="B2">
        <v>9</v>
      </c>
      <c r="C2">
        <v>21</v>
      </c>
      <c r="D2">
        <f>(B2+C2)/2</f>
        <v>15</v>
      </c>
      <c r="F2" s="19" t="s">
        <v>45</v>
      </c>
      <c r="G2">
        <v>1</v>
      </c>
    </row>
    <row r="3" spans="1:7" x14ac:dyDescent="0.3">
      <c r="A3" s="19" t="s">
        <v>1</v>
      </c>
      <c r="B3">
        <v>15</v>
      </c>
      <c r="C3">
        <v>25</v>
      </c>
      <c r="D3">
        <f t="shared" ref="D3:D28" si="0">(B3+C3)/2</f>
        <v>20</v>
      </c>
      <c r="F3" s="19" t="s">
        <v>2</v>
      </c>
      <c r="G3">
        <v>1.25</v>
      </c>
    </row>
    <row r="4" spans="1:7" x14ac:dyDescent="0.3">
      <c r="A4" s="19" t="s">
        <v>2</v>
      </c>
      <c r="B4">
        <v>20</v>
      </c>
      <c r="C4">
        <v>30</v>
      </c>
      <c r="D4">
        <f t="shared" si="0"/>
        <v>25</v>
      </c>
      <c r="F4" s="19" t="s">
        <v>10</v>
      </c>
      <c r="G4">
        <v>1.5</v>
      </c>
    </row>
    <row r="5" spans="1:7" x14ac:dyDescent="0.3">
      <c r="A5" s="19" t="s">
        <v>3</v>
      </c>
      <c r="B5">
        <v>25</v>
      </c>
      <c r="C5">
        <v>35</v>
      </c>
      <c r="D5">
        <f t="shared" si="0"/>
        <v>30</v>
      </c>
      <c r="F5" s="19" t="s">
        <v>11</v>
      </c>
      <c r="G5">
        <v>1.75</v>
      </c>
    </row>
    <row r="6" spans="1:7" x14ac:dyDescent="0.3">
      <c r="A6" s="19" t="s">
        <v>4</v>
      </c>
      <c r="B6">
        <v>35</v>
      </c>
      <c r="C6">
        <v>60</v>
      </c>
      <c r="D6">
        <f t="shared" si="0"/>
        <v>47.5</v>
      </c>
      <c r="F6" s="19" t="s">
        <v>12</v>
      </c>
      <c r="G6">
        <v>2</v>
      </c>
    </row>
    <row r="7" spans="1:7" x14ac:dyDescent="0.3">
      <c r="A7" s="19" t="s">
        <v>5</v>
      </c>
      <c r="B7">
        <v>65</v>
      </c>
      <c r="C7">
        <v>95</v>
      </c>
      <c r="D7">
        <f t="shared" si="0"/>
        <v>80</v>
      </c>
      <c r="F7" s="19" t="s">
        <v>13</v>
      </c>
      <c r="G7">
        <v>2.2999999999999998</v>
      </c>
    </row>
    <row r="8" spans="1:7" x14ac:dyDescent="0.3">
      <c r="A8" s="19" t="s">
        <v>6</v>
      </c>
      <c r="B8">
        <v>100</v>
      </c>
      <c r="C8">
        <v>200</v>
      </c>
      <c r="D8">
        <f t="shared" si="0"/>
        <v>150</v>
      </c>
      <c r="F8" s="19" t="s">
        <v>14</v>
      </c>
      <c r="G8">
        <v>2.6</v>
      </c>
    </row>
    <row r="9" spans="1:7" x14ac:dyDescent="0.3">
      <c r="A9" s="19" t="s">
        <v>7</v>
      </c>
      <c r="B9">
        <v>150</v>
      </c>
      <c r="C9">
        <v>300</v>
      </c>
      <c r="D9">
        <f t="shared" si="0"/>
        <v>225</v>
      </c>
      <c r="F9" s="19" t="s">
        <v>15</v>
      </c>
      <c r="G9">
        <v>3.5</v>
      </c>
    </row>
    <row r="10" spans="1:7" x14ac:dyDescent="0.3">
      <c r="A10" s="19" t="s">
        <v>8</v>
      </c>
      <c r="B10">
        <v>450</v>
      </c>
      <c r="C10">
        <v>700</v>
      </c>
      <c r="D10">
        <f t="shared" si="0"/>
        <v>575</v>
      </c>
      <c r="F10" s="19" t="s">
        <v>16</v>
      </c>
      <c r="G10">
        <v>5</v>
      </c>
    </row>
    <row r="11" spans="1:7" x14ac:dyDescent="0.3">
      <c r="A11" s="19" t="s">
        <v>9</v>
      </c>
      <c r="B11" s="20">
        <v>1200</v>
      </c>
      <c r="C11" s="20">
        <v>1650</v>
      </c>
      <c r="D11">
        <f t="shared" si="0"/>
        <v>1425</v>
      </c>
      <c r="F11" s="21" t="s">
        <v>18</v>
      </c>
      <c r="G11">
        <v>2.4</v>
      </c>
    </row>
    <row r="12" spans="1:7" x14ac:dyDescent="0.3">
      <c r="A12" s="21" t="s">
        <v>26</v>
      </c>
      <c r="B12">
        <v>18</v>
      </c>
      <c r="C12">
        <v>24</v>
      </c>
      <c r="D12">
        <f t="shared" si="0"/>
        <v>21</v>
      </c>
      <c r="F12" s="21" t="s">
        <v>19</v>
      </c>
      <c r="G12">
        <v>69</v>
      </c>
    </row>
    <row r="13" spans="1:7" x14ac:dyDescent="0.3">
      <c r="A13" s="21" t="s">
        <v>27</v>
      </c>
      <c r="B13">
        <v>35</v>
      </c>
      <c r="C13">
        <v>53</v>
      </c>
      <c r="D13">
        <f t="shared" si="0"/>
        <v>44</v>
      </c>
      <c r="F13" s="21" t="s">
        <v>20</v>
      </c>
      <c r="G13">
        <v>10</v>
      </c>
    </row>
    <row r="14" spans="1:7" x14ac:dyDescent="0.3">
      <c r="A14" s="21" t="s">
        <v>28</v>
      </c>
      <c r="B14">
        <v>350</v>
      </c>
      <c r="C14">
        <v>520</v>
      </c>
      <c r="D14">
        <f t="shared" si="0"/>
        <v>435</v>
      </c>
      <c r="F14" s="21" t="s">
        <v>21</v>
      </c>
      <c r="G14">
        <v>4</v>
      </c>
    </row>
    <row r="15" spans="1:7" x14ac:dyDescent="0.3">
      <c r="A15" s="21" t="s">
        <v>29</v>
      </c>
      <c r="B15">
        <v>9</v>
      </c>
      <c r="C15">
        <v>55</v>
      </c>
      <c r="D15">
        <f t="shared" si="0"/>
        <v>32</v>
      </c>
      <c r="F15" s="22" t="s">
        <v>22</v>
      </c>
      <c r="G15">
        <v>3</v>
      </c>
    </row>
    <row r="16" spans="1:7" x14ac:dyDescent="0.3">
      <c r="A16" s="21" t="s">
        <v>30</v>
      </c>
      <c r="B16">
        <v>60</v>
      </c>
      <c r="C16">
        <v>70</v>
      </c>
      <c r="D16">
        <f t="shared" si="0"/>
        <v>65</v>
      </c>
      <c r="F16" s="23" t="s">
        <v>23</v>
      </c>
      <c r="G16">
        <v>0</v>
      </c>
    </row>
    <row r="17" spans="1:7" x14ac:dyDescent="0.3">
      <c r="A17" s="21" t="s">
        <v>31</v>
      </c>
      <c r="B17">
        <v>12</v>
      </c>
      <c r="C17">
        <v>30</v>
      </c>
      <c r="D17">
        <f t="shared" si="0"/>
        <v>21</v>
      </c>
      <c r="F17" s="23" t="s">
        <v>24</v>
      </c>
      <c r="G17">
        <v>5</v>
      </c>
    </row>
    <row r="18" spans="1:7" x14ac:dyDescent="0.3">
      <c r="A18" s="21" t="s">
        <v>32</v>
      </c>
      <c r="B18">
        <v>120</v>
      </c>
      <c r="C18">
        <v>240</v>
      </c>
      <c r="D18">
        <f t="shared" si="0"/>
        <v>180</v>
      </c>
      <c r="F18" s="23" t="s">
        <v>25</v>
      </c>
      <c r="G18">
        <v>5</v>
      </c>
    </row>
    <row r="19" spans="1:7" x14ac:dyDescent="0.3">
      <c r="A19" s="21" t="s">
        <v>33</v>
      </c>
      <c r="B19">
        <v>10</v>
      </c>
      <c r="C19">
        <v>18</v>
      </c>
      <c r="D19">
        <f t="shared" si="0"/>
        <v>14</v>
      </c>
    </row>
    <row r="20" spans="1:7" x14ac:dyDescent="0.3">
      <c r="A20" s="21" t="s">
        <v>34</v>
      </c>
      <c r="B20">
        <v>15</v>
      </c>
      <c r="C20">
        <v>120</v>
      </c>
      <c r="D20">
        <f t="shared" si="0"/>
        <v>67.5</v>
      </c>
    </row>
    <row r="21" spans="1:7" x14ac:dyDescent="0.3">
      <c r="A21" s="21" t="s">
        <v>35</v>
      </c>
      <c r="B21">
        <v>50</v>
      </c>
      <c r="C21">
        <v>350</v>
      </c>
      <c r="D21">
        <f t="shared" si="0"/>
        <v>200</v>
      </c>
    </row>
    <row r="22" spans="1:7" x14ac:dyDescent="0.3">
      <c r="A22" s="21" t="s">
        <v>36</v>
      </c>
      <c r="B22">
        <v>75</v>
      </c>
      <c r="C22">
        <v>125</v>
      </c>
      <c r="D22">
        <f t="shared" si="0"/>
        <v>100</v>
      </c>
    </row>
    <row r="23" spans="1:7" x14ac:dyDescent="0.3">
      <c r="A23" s="21" t="s">
        <v>37</v>
      </c>
      <c r="B23" s="20">
        <v>1450</v>
      </c>
      <c r="C23" s="20">
        <v>2100</v>
      </c>
      <c r="D23">
        <f t="shared" si="0"/>
        <v>1775</v>
      </c>
    </row>
    <row r="24" spans="1:7" x14ac:dyDescent="0.3">
      <c r="A24" s="22" t="s">
        <v>38</v>
      </c>
      <c r="B24">
        <v>300</v>
      </c>
      <c r="C24">
        <v>500</v>
      </c>
      <c r="D24">
        <f t="shared" si="0"/>
        <v>400</v>
      </c>
    </row>
    <row r="25" spans="1:7" x14ac:dyDescent="0.3">
      <c r="A25" s="24" t="s">
        <v>39</v>
      </c>
      <c r="B25">
        <v>31</v>
      </c>
      <c r="C25">
        <v>71</v>
      </c>
      <c r="D25">
        <f t="shared" si="0"/>
        <v>51</v>
      </c>
    </row>
    <row r="26" spans="1:7" x14ac:dyDescent="0.3">
      <c r="A26" s="24" t="s">
        <v>40</v>
      </c>
      <c r="B26">
        <v>200</v>
      </c>
      <c r="C26">
        <v>375</v>
      </c>
      <c r="D26">
        <f t="shared" si="0"/>
        <v>287.5</v>
      </c>
    </row>
    <row r="27" spans="1:7" x14ac:dyDescent="0.3">
      <c r="A27" s="23" t="s">
        <v>41</v>
      </c>
      <c r="B27">
        <v>330</v>
      </c>
      <c r="C27">
        <v>720</v>
      </c>
      <c r="D27">
        <f t="shared" si="0"/>
        <v>525</v>
      </c>
    </row>
    <row r="28" spans="1:7" x14ac:dyDescent="0.3">
      <c r="A28" s="23" t="s">
        <v>42</v>
      </c>
      <c r="B28">
        <v>375</v>
      </c>
      <c r="C28">
        <v>855</v>
      </c>
      <c r="D28">
        <f t="shared" si="0"/>
        <v>615</v>
      </c>
    </row>
    <row r="29" spans="1:7" x14ac:dyDescent="0.3">
      <c r="A29" s="23" t="s">
        <v>43</v>
      </c>
      <c r="B29">
        <v>35</v>
      </c>
      <c r="C29">
        <v>105</v>
      </c>
      <c r="D29">
        <f>(B29+C29)/2</f>
        <v>70</v>
      </c>
    </row>
    <row r="31" spans="1:7" ht="21" x14ac:dyDescent="0.4">
      <c r="A31" s="29" t="s">
        <v>71</v>
      </c>
      <c r="B31" s="18" t="s">
        <v>77</v>
      </c>
      <c r="C31" s="18" t="s">
        <v>78</v>
      </c>
      <c r="D31" s="18" t="s">
        <v>79</v>
      </c>
      <c r="E31" s="18" t="s">
        <v>72</v>
      </c>
      <c r="F31" s="18" t="s">
        <v>73</v>
      </c>
      <c r="G31" s="18" t="s">
        <v>74</v>
      </c>
    </row>
    <row r="32" spans="1:7" x14ac:dyDescent="0.3">
      <c r="A32" s="6" t="s">
        <v>55</v>
      </c>
      <c r="B32">
        <v>7</v>
      </c>
      <c r="C32">
        <v>20</v>
      </c>
      <c r="D32">
        <f>(B32+C32)/2</f>
        <v>13.5</v>
      </c>
      <c r="E32">
        <v>12</v>
      </c>
      <c r="F32">
        <v>35</v>
      </c>
      <c r="G32">
        <f>(E32+F32)/2</f>
        <v>23.5</v>
      </c>
    </row>
    <row r="33" spans="1:7" x14ac:dyDescent="0.3">
      <c r="A33" s="6" t="s">
        <v>56</v>
      </c>
      <c r="B33">
        <v>25</v>
      </c>
      <c r="C33">
        <v>35</v>
      </c>
      <c r="D33">
        <f t="shared" ref="D33:D47" si="1">(B33+C33)/2</f>
        <v>30</v>
      </c>
      <c r="E33">
        <v>44</v>
      </c>
      <c r="F33">
        <v>61</v>
      </c>
      <c r="G33">
        <f t="shared" ref="G33:G47" si="2">(E33+F33)/2</f>
        <v>52.5</v>
      </c>
    </row>
    <row r="34" spans="1:7" x14ac:dyDescent="0.3">
      <c r="A34" s="6" t="s">
        <v>57</v>
      </c>
      <c r="B34">
        <v>40</v>
      </c>
      <c r="C34">
        <v>120</v>
      </c>
      <c r="D34">
        <f t="shared" si="1"/>
        <v>80</v>
      </c>
      <c r="E34">
        <v>70</v>
      </c>
      <c r="F34">
        <v>210</v>
      </c>
      <c r="G34">
        <f t="shared" si="2"/>
        <v>140</v>
      </c>
    </row>
    <row r="35" spans="1:7" x14ac:dyDescent="0.3">
      <c r="A35" s="6" t="s">
        <v>58</v>
      </c>
      <c r="B35">
        <v>300</v>
      </c>
      <c r="C35">
        <v>500</v>
      </c>
      <c r="D35">
        <f t="shared" si="1"/>
        <v>400</v>
      </c>
      <c r="E35">
        <v>525</v>
      </c>
      <c r="F35">
        <v>875</v>
      </c>
      <c r="G35">
        <f t="shared" si="2"/>
        <v>700</v>
      </c>
    </row>
    <row r="36" spans="1:7" x14ac:dyDescent="0.3">
      <c r="A36" s="6" t="s">
        <v>59</v>
      </c>
      <c r="B36">
        <v>1000</v>
      </c>
      <c r="C36">
        <v>1800</v>
      </c>
      <c r="D36">
        <f t="shared" si="1"/>
        <v>1400</v>
      </c>
      <c r="E36">
        <v>1750</v>
      </c>
      <c r="F36">
        <v>3150</v>
      </c>
      <c r="G36">
        <f t="shared" si="2"/>
        <v>2450</v>
      </c>
    </row>
    <row r="37" spans="1:7" x14ac:dyDescent="0.3">
      <c r="A37" s="10" t="s">
        <v>60</v>
      </c>
      <c r="B37">
        <v>15</v>
      </c>
      <c r="C37">
        <v>31</v>
      </c>
      <c r="D37">
        <f t="shared" si="1"/>
        <v>23</v>
      </c>
      <c r="E37">
        <v>26</v>
      </c>
      <c r="F37">
        <v>54</v>
      </c>
      <c r="G37">
        <f t="shared" si="2"/>
        <v>40</v>
      </c>
    </row>
    <row r="38" spans="1:7" x14ac:dyDescent="0.3">
      <c r="A38" s="10" t="s">
        <v>61</v>
      </c>
      <c r="B38">
        <v>750</v>
      </c>
      <c r="C38">
        <v>1200</v>
      </c>
      <c r="D38">
        <f t="shared" si="1"/>
        <v>975</v>
      </c>
      <c r="E38">
        <v>1312</v>
      </c>
      <c r="F38">
        <v>2100</v>
      </c>
      <c r="G38">
        <f t="shared" si="2"/>
        <v>1706</v>
      </c>
    </row>
    <row r="39" spans="1:7" x14ac:dyDescent="0.3">
      <c r="A39" s="10" t="s">
        <v>62</v>
      </c>
      <c r="B39">
        <v>75</v>
      </c>
      <c r="C39">
        <v>155</v>
      </c>
      <c r="D39">
        <f t="shared" si="1"/>
        <v>115</v>
      </c>
      <c r="E39">
        <v>131</v>
      </c>
      <c r="F39">
        <v>271</v>
      </c>
      <c r="G39">
        <f t="shared" si="2"/>
        <v>201</v>
      </c>
    </row>
    <row r="40" spans="1:7" x14ac:dyDescent="0.3">
      <c r="A40" s="10" t="s">
        <v>63</v>
      </c>
      <c r="B40">
        <v>450</v>
      </c>
      <c r="C40">
        <v>700</v>
      </c>
      <c r="D40">
        <f t="shared" si="1"/>
        <v>575</v>
      </c>
      <c r="E40">
        <v>787</v>
      </c>
      <c r="F40">
        <v>1225</v>
      </c>
      <c r="G40">
        <f t="shared" si="2"/>
        <v>1006</v>
      </c>
    </row>
    <row r="41" spans="1:7" x14ac:dyDescent="0.3">
      <c r="A41" s="10" t="s">
        <v>64</v>
      </c>
      <c r="B41">
        <v>250</v>
      </c>
      <c r="C41">
        <v>336</v>
      </c>
      <c r="D41">
        <f t="shared" si="1"/>
        <v>293</v>
      </c>
      <c r="E41">
        <v>437</v>
      </c>
      <c r="F41">
        <v>588</v>
      </c>
      <c r="G41">
        <f t="shared" si="2"/>
        <v>512.5</v>
      </c>
    </row>
    <row r="42" spans="1:7" x14ac:dyDescent="0.3">
      <c r="A42" s="10" t="s">
        <v>65</v>
      </c>
      <c r="B42">
        <v>100</v>
      </c>
      <c r="C42">
        <v>400</v>
      </c>
      <c r="D42">
        <f t="shared" si="1"/>
        <v>250</v>
      </c>
      <c r="E42">
        <v>175</v>
      </c>
      <c r="F42">
        <v>700</v>
      </c>
      <c r="G42">
        <f t="shared" si="2"/>
        <v>437.5</v>
      </c>
    </row>
    <row r="43" spans="1:7" x14ac:dyDescent="0.3">
      <c r="A43" s="10" t="s">
        <v>66</v>
      </c>
      <c r="B43">
        <v>100</v>
      </c>
      <c r="C43">
        <v>1000</v>
      </c>
      <c r="D43">
        <f t="shared" si="1"/>
        <v>550</v>
      </c>
      <c r="E43">
        <v>175</v>
      </c>
      <c r="F43">
        <v>1750</v>
      </c>
      <c r="G43">
        <f t="shared" si="2"/>
        <v>962.5</v>
      </c>
    </row>
    <row r="44" spans="1:7" x14ac:dyDescent="0.3">
      <c r="A44" s="10" t="s">
        <v>67</v>
      </c>
      <c r="B44">
        <v>3500</v>
      </c>
      <c r="C44">
        <v>5500</v>
      </c>
      <c r="D44">
        <f t="shared" si="1"/>
        <v>4500</v>
      </c>
      <c r="E44">
        <v>6125</v>
      </c>
      <c r="F44">
        <v>9625</v>
      </c>
      <c r="G44">
        <f t="shared" si="2"/>
        <v>7875</v>
      </c>
    </row>
    <row r="45" spans="1:7" x14ac:dyDescent="0.3">
      <c r="A45" s="11" t="s">
        <v>68</v>
      </c>
      <c r="B45">
        <v>500</v>
      </c>
      <c r="C45">
        <v>750</v>
      </c>
      <c r="D45">
        <f t="shared" si="1"/>
        <v>625</v>
      </c>
      <c r="E45">
        <v>875</v>
      </c>
      <c r="F45">
        <v>1313</v>
      </c>
      <c r="G45">
        <f t="shared" si="2"/>
        <v>1094</v>
      </c>
    </row>
    <row r="46" spans="1:7" x14ac:dyDescent="0.3">
      <c r="A46" s="12" t="s">
        <v>69</v>
      </c>
      <c r="B46">
        <v>120</v>
      </c>
      <c r="C46">
        <v>300</v>
      </c>
      <c r="D46">
        <f t="shared" si="1"/>
        <v>210</v>
      </c>
      <c r="E46">
        <v>210</v>
      </c>
      <c r="F46">
        <v>525</v>
      </c>
      <c r="G46">
        <f t="shared" si="2"/>
        <v>367.5</v>
      </c>
    </row>
    <row r="47" spans="1:7" x14ac:dyDescent="0.3">
      <c r="A47" s="12" t="s">
        <v>70</v>
      </c>
      <c r="B47">
        <v>35</v>
      </c>
      <c r="C47">
        <v>70</v>
      </c>
      <c r="D47">
        <f t="shared" si="1"/>
        <v>52.5</v>
      </c>
      <c r="E47">
        <v>61</v>
      </c>
      <c r="F47">
        <v>123</v>
      </c>
      <c r="G47">
        <f t="shared" si="2"/>
        <v>92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Gems</vt:lpstr>
      <vt:lpstr>Metals</vt:lpstr>
      <vt:lpstr>Large Gems</vt:lpstr>
      <vt:lpstr>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Rosie Bryant</dc:creator>
  <cp:lastModifiedBy>Rosie Bryant</cp:lastModifiedBy>
  <dcterms:created xsi:type="dcterms:W3CDTF">2020-01-02T18:37:34Z</dcterms:created>
  <dcterms:modified xsi:type="dcterms:W3CDTF">2020-01-04T12:25:15Z</dcterms:modified>
</cp:coreProperties>
</file>